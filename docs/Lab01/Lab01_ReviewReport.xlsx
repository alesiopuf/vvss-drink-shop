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rprodan\Desktop\facultate\lab vvvs\vvss-drink-shop\docs\Lab01\"/>
    </mc:Choice>
  </mc:AlternateContent>
  <xr:revisionPtr revIDLastSave="0" documentId="13_ncr:1_{0203A8F2-5FD5-40C6-A76E-1B775C8754F6}" xr6:coauthVersionLast="47" xr6:coauthVersionMax="47" xr10:uidLastSave="{00000000-0000-0000-0000-000000000000}"/>
  <bookViews>
    <workbookView xWindow="2580" yWindow="2580" windowWidth="19200" windowHeight="11210" tabRatio="650" activeTab="1"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7" l="1"/>
  <c r="B12" i="7"/>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<sst xmlns="http://schemas.openxmlformats.org/spreadsheetml/2006/main" count="193" uniqueCount="127">
  <si>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</si>
  <si>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</si>
  <si>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</si>
  <si>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</si>
  <si>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</si>
  <si>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</si>
  <si>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</si>
  <si>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</si>
  <si>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</si>
  <si>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</si>
  <si>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</si>
  <si>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</si>
  <si>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</si>
  <si>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</si>
  <si>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</si>
  <si>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</si>
  <si>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</si>
  <si>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</si>
  <si>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</si>
  <si>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</si>
  <si>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</si>
  <si>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</si>
  <si>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</si>
  <si>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</si>
  <si>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</si>
  <si>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</si>
  <si>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</si>
  <si>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</si>
  <si>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</si>
  <si>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</si>
  <si>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</si>
  <si>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</si>
  <si>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Puf Alesio-Andrei</t>
  </si>
  <si>
    <t>Puf Alesio</t>
  </si>
  <si>
    <t>5.03.2026</t>
  </si>
  <si>
    <t>SonarQube</t>
  </si>
  <si>
    <t>C01</t>
  </si>
  <si>
    <t>OrderValidator, 18-21</t>
  </si>
  <si>
    <t>Se face un null-check, dar apoi bucla for se executa indiferent de rezultat, deci poate aparea NPE. Trebuie folosita clauza else.</t>
  </si>
  <si>
    <t>Aceeasi problema ca mai sus.</t>
  </si>
  <si>
    <t>RetetaValidator, 20-27</t>
  </si>
  <si>
    <t>C04</t>
  </si>
  <si>
    <t xml:space="preserve">Effort to perform tool-based code analysis (hours): </t>
  </si>
  <si>
    <t>FileStocRepository, 20</t>
  </si>
  <si>
    <t>Se foloseste ';' pentru delimitare in loc de ',' ca pentru restul claselor repository, formand o inconsistenta de formatare. Quick fix.</t>
  </si>
  <si>
    <t>CsvExporter, 17-29</t>
  </si>
  <si>
    <t>Formatarea CSV e defectuoasa, tabelul rezultat e greu de citit si parsat.</t>
  </si>
  <si>
    <t>C06</t>
  </si>
  <si>
    <t>DrinkShopController, 132, 144</t>
  </si>
  <si>
    <t>DrinkShopController, 130-134</t>
  </si>
  <si>
    <t>Input-ul nu este validat/sanitizat, utilizatorul poate introduce caractere non-numerice care va face applicatia sa arunce NumberFormatException.</t>
  </si>
  <si>
    <t>Input-ul nu este validat, utilizatorul poate sa nu selecteze nimic din combo box, caz in care produsul nostru va fi creat cu valori nule</t>
  </si>
  <si>
    <t>C07</t>
  </si>
  <si>
    <t>FileStocRepository, 24-25</t>
  </si>
  <si>
    <t>Atributele sunt citite ca numere intregi dar sunt scrise ca numere reale, deci vor aparea probleme serioase dupa primul stoc creat.</t>
  </si>
  <si>
    <t>C08</t>
  </si>
  <si>
    <t>DrinkShopController, 117-118</t>
  </si>
  <si>
    <t>Alerta e de tip INFORMATION dar are titlul "Error"</t>
  </si>
  <si>
    <t>C09</t>
  </si>
  <si>
    <t>DrinkShopService, 23, 28</t>
  </si>
  <si>
    <t>C12</t>
  </si>
  <si>
    <t>StocService, 73</t>
  </si>
  <si>
    <t>Toate variabilele sunt de tip double, dar se face cast la int, ca mai apoi sa fie setat un camp de tip double. Ar trebui folosit un singur tip.</t>
  </si>
  <si>
    <t>Parametrul constructorului se numește „stocService”, dar de fapt este un repository. Fișierul inițializat este, de asemenea, denumit incorect.</t>
  </si>
  <si>
    <t>StocService, 10</t>
  </si>
  <si>
    <t>Constructorul declara "cantitate" si "stocMin" ca fiind int, dar de fapt sunt double.</t>
  </si>
  <si>
    <t>Order, 30, 62</t>
  </si>
  <si>
    <t>Methods should not have identical implementations (java:S4144)</t>
  </si>
  <si>
    <t>Metodele `getTotalPrice()` si `getTotal()`  faceau exact acelasi lucru.</t>
  </si>
  <si>
    <t>Multiple variables should not be declared on the same line (java:S1659)</t>
  </si>
  <si>
    <t>DrinkShopController, 54</t>
  </si>
  <si>
    <t>Campurile `txtProdName` si `txtProdPrice` erau delcarate pe aceeasi linie.</t>
  </si>
  <si>
    <t>ProductService, 31-37</t>
  </si>
  <si>
    <t>Sections of code should not be commented out (java:S125)</t>
  </si>
  <si>
    <t>Avem chunk-uri de cod comentat.</t>
  </si>
  <si>
    <t>OrderService, 34-35</t>
  </si>
  <si>
    <t>Repository, 4</t>
  </si>
  <si>
    <t>Type parameter names should comply with a naming convention (java:S119)</t>
  </si>
  <si>
    <t>After: A doua metoda a fost stearsa, iar apelurile au fost inlocuite cu apeluri la prima metoda.</t>
  </si>
  <si>
    <t>After: Campurile sunt declarate acum pe linii separate.</t>
  </si>
  <si>
    <t>After: Codul comentat a fost sters, se poate reveni la ela folosind sistemul de versionare.</t>
  </si>
  <si>
    <t>AbstractRepository, 20</t>
  </si>
  <si>
    <t>Redundant casts should not be used (java:S1905)</t>
  </si>
  <si>
    <t>FileOrderRepository, 59</t>
  </si>
  <si>
    <t>"String.isEmpty()" should be used to test for emptiness (java:S7158)</t>
  </si>
  <si>
    <t>FileAbstractRepository, 12</t>
  </si>
  <si>
    <t>Constructors of an "abstract" class should not be declared "public" (java:S5993)</t>
  </si>
  <si>
    <t>Constructor-ul este declarat "public".</t>
  </si>
  <si>
    <t>Se foloseste length() &gt; 0 pentru a verifica daca un string este gol.</t>
  </si>
  <si>
    <t>Se face cast la List&lt;E&gt;.</t>
  </si>
  <si>
    <t>Parametrul de tip folosit este numit 'ID'.</t>
  </si>
  <si>
    <t>Argument: Chiar daca nu se respecta conventia de o litera, denumirea de 'ID' este mult mai clara.</t>
  </si>
  <si>
    <t>After: Cast-ul redundant este eliminat.</t>
  </si>
  <si>
    <t>After: Se foloseste metoda isEmpty().</t>
  </si>
  <si>
    <t>After: Constructor-ul se declara "protected".</t>
  </si>
  <si>
    <t>DailyReportService, 22-24</t>
  </si>
  <si>
    <t>AbstractRepository, 21-22</t>
  </si>
  <si>
    <t>Prodan Robert-Alexandru</t>
  </si>
  <si>
    <t>R01 (Requirements are incomplete)</t>
  </si>
  <si>
    <t>Cerințe Funcționale (FR 5)</t>
  </si>
  <si>
    <t>Se menționează "actualizarea stocului în urma comenzilor", dar nu se specifică comportamentul aplicației în cazul în care stocul este insuficient. Trebuie definit dacă aplicația blochează comanda, notifică utilizatorul sau permite stoc negativ.</t>
  </si>
  <si>
    <r>
      <t>R04</t>
    </r>
    <r>
      <rPr>
        <sz val="11"/>
        <color theme="1"/>
        <rFont val="Calibri"/>
        <family val="2"/>
        <charset val="238"/>
        <scheme val="minor"/>
      </rPr>
      <t xml:space="preserve"> (Initialization of system state...)</t>
    </r>
  </si>
  <si>
    <t>Cerințe Non-funcționale (NFR 3)</t>
  </si>
  <si>
    <t>Nu este descrisă starea inițială a sistemului. Ce se întâmplă la prima rulare a aplicației? Trebuie specificat dacă fișierele text sunt generate automat cu date mock sau dacă pornesc complet goale.</t>
  </si>
  <si>
    <r>
      <t>R05</t>
    </r>
    <r>
      <rPr>
        <sz val="11"/>
        <color theme="1"/>
        <rFont val="Calibri"/>
        <family val="2"/>
        <charset val="238"/>
        <scheme val="minor"/>
      </rPr>
      <t xml:space="preserve"> (Functions inadequately defined)</t>
    </r>
  </si>
  <si>
    <t>Cerințe Funcționale (FR 7)</t>
  </si>
  <si>
    <r>
      <t xml:space="preserve">7)Se cere să se "calculeze automat conținutul unei comenzi pe baza rețetelor". Formularea este ambiguă. O comandă conține produse, nu ingrediente. Probabil se dorește calcularea </t>
    </r>
    <r>
      <rPr>
        <i/>
        <sz val="11"/>
        <color theme="1"/>
        <rFont val="Calibri"/>
        <family val="2"/>
        <charset val="238"/>
        <scheme val="minor"/>
      </rPr>
      <t>scăderii din stoc</t>
    </r>
    <r>
      <rPr>
        <sz val="11"/>
        <color theme="1"/>
        <rFont val="Calibri"/>
        <family val="2"/>
        <charset val="238"/>
        <scheme val="minor"/>
      </rPr>
      <t xml:space="preserve"> a ingredientelor pe baza rețetelor produselor comandate, nu a "conținutului comenzii".</t>
    </r>
  </si>
  <si>
    <r>
      <t>R06</t>
    </r>
    <r>
      <rPr>
        <sz val="11"/>
        <color theme="1"/>
        <rFont val="Calibri"/>
        <family val="2"/>
        <charset val="238"/>
        <scheme val="minor"/>
      </rPr>
      <t xml:space="preserve"> (User needs inadequately stated)</t>
    </r>
  </si>
  <si>
    <t>Cerințe Funcționale (FR 1)</t>
  </si>
  <si>
    <t>Pentru "afișare listă produse", nu se menționează dacă utilizatorul are nevoie de funcționalități de filtrare sau căutare (ex: afișare doar produse dintr-o anumită categorie), deși diagrama UML sugerează că ar exista o astfel de funcție.</t>
  </si>
  <si>
    <t>AD1</t>
  </si>
  <si>
    <t>Diagrame UML (DrinkShopController)</t>
  </si>
  <si>
    <r>
      <t>Organizare neclară (God Class):</t>
    </r>
    <r>
      <rPr>
        <sz val="11"/>
        <color theme="1"/>
        <rFont val="Calibri"/>
        <family val="2"/>
        <charset val="238"/>
        <scheme val="minor"/>
      </rPr>
      <t xml:space="preserve"> </t>
    </r>
    <r>
      <rPr>
        <sz val="10"/>
        <color theme="1"/>
        <rFont val="Arial Unicode MS"/>
      </rPr>
      <t>DrinkShopController</t>
    </r>
    <r>
      <rPr>
        <sz val="11"/>
        <color theme="1"/>
        <rFont val="Calibri"/>
        <family val="2"/>
        <charset val="238"/>
        <scheme val="minor"/>
      </rPr>
      <t xml:space="preserve"> centralizează prea multe responsabilități, încălcând principiul Single Responsibility. Pentru o interfață grafică scalabilă (JavaFX), ar trebui spart în mai multe controllere specifice (ex: </t>
    </r>
    <r>
      <rPr>
        <sz val="10"/>
        <color theme="1"/>
        <rFont val="Arial Unicode MS"/>
      </rPr>
      <t>ProductController</t>
    </r>
    <r>
      <rPr>
        <sz val="11"/>
        <color theme="1"/>
        <rFont val="Calibri"/>
        <family val="2"/>
        <charset val="238"/>
        <scheme val="minor"/>
      </rPr>
      <t xml:space="preserve">, </t>
    </r>
    <r>
      <rPr>
        <sz val="10"/>
        <color theme="1"/>
        <rFont val="Arial Unicode MS"/>
      </rPr>
      <t>OrderController</t>
    </r>
    <r>
      <rPr>
        <sz val="11"/>
        <color theme="1"/>
        <rFont val="Calibri"/>
        <family val="2"/>
        <charset val="238"/>
        <scheme val="minor"/>
      </rPr>
      <t>).</t>
    </r>
  </si>
  <si>
    <t>Diagrama UML 2 (DrinkShopService vs DailyReportService)</t>
  </si>
  <si>
    <r>
      <t>nconsistență structurală:</t>
    </r>
    <r>
      <rPr>
        <sz val="11"/>
        <color theme="1"/>
        <rFont val="Calibri"/>
        <family val="2"/>
        <charset val="238"/>
        <scheme val="minor"/>
      </rPr>
      <t xml:space="preserve"> Controller-ul interacționează cu un "Facade" (</t>
    </r>
    <r>
      <rPr>
        <sz val="10"/>
        <color theme="1"/>
        <rFont val="Arial Unicode MS"/>
      </rPr>
      <t>DrinkShopService</t>
    </r>
    <r>
      <rPr>
        <sz val="11"/>
        <color theme="1"/>
        <rFont val="Calibri"/>
        <family val="2"/>
        <charset val="238"/>
        <scheme val="minor"/>
      </rPr>
      <t xml:space="preserve">) pentru majoritatea operațiilor, dar comunică direct cu </t>
    </r>
    <r>
      <rPr>
        <sz val="10"/>
        <color theme="1"/>
        <rFont val="Arial Unicode MS"/>
      </rPr>
      <t>DailyReportService</t>
    </r>
    <r>
      <rPr>
        <sz val="11"/>
        <color theme="1"/>
        <rFont val="Calibri"/>
        <family val="2"/>
        <charset val="238"/>
        <scheme val="minor"/>
      </rPr>
      <t>. Arhitectura ar trebui uniformizată: fie controller-ul discută doar cu Facade-ul, fie discută direct cu serviciile individuale necesare.</t>
    </r>
  </si>
  <si>
    <t>AD2</t>
  </si>
  <si>
    <t>Diagrama UML 2 (DrinkShopController -&gt; Repositories)</t>
  </si>
  <si>
    <r>
      <t>Încălcarea arhitecturii stratificate:</t>
    </r>
    <r>
      <rPr>
        <sz val="11"/>
        <color theme="1"/>
        <rFont val="Calibri"/>
        <family val="2"/>
        <charset val="238"/>
        <scheme val="minor"/>
      </rPr>
      <t xml:space="preserve"> Se observă asocieri directe de la </t>
    </r>
    <r>
      <rPr>
        <sz val="10"/>
        <color theme="1"/>
        <rFont val="Arial Unicode MS"/>
      </rPr>
      <t>DrinkShopController</t>
    </r>
    <r>
      <rPr>
        <sz val="11"/>
        <color theme="1"/>
        <rFont val="Calibri"/>
        <family val="2"/>
        <charset val="238"/>
        <scheme val="minor"/>
      </rPr>
      <t xml:space="preserve"> către </t>
    </r>
    <r>
      <rPr>
        <sz val="10"/>
        <color theme="1"/>
        <rFont val="Arial Unicode MS"/>
      </rPr>
      <t>FileAbstractRepository</t>
    </r>
    <r>
      <rPr>
        <sz val="11"/>
        <color theme="1"/>
        <rFont val="Calibri"/>
        <family val="2"/>
        <charset val="238"/>
        <scheme val="minor"/>
      </rPr>
      <t xml:space="preserve"> și </t>
    </r>
    <r>
      <rPr>
        <sz val="10"/>
        <color theme="1"/>
        <rFont val="Arial Unicode MS"/>
      </rPr>
      <t>Repository</t>
    </r>
    <r>
      <rPr>
        <sz val="11"/>
        <color theme="1"/>
        <rFont val="Calibri"/>
        <family val="2"/>
        <charset val="238"/>
        <scheme val="minor"/>
      </rPr>
      <t xml:space="preserve">. Controller-ul (UI) trebuie să comunice </t>
    </r>
    <r>
      <rPr>
        <i/>
        <sz val="11"/>
        <color theme="1"/>
        <rFont val="Calibri"/>
        <family val="2"/>
        <charset val="238"/>
        <scheme val="minor"/>
      </rPr>
      <t>exclusiv</t>
    </r>
    <r>
      <rPr>
        <sz val="11"/>
        <color theme="1"/>
        <rFont val="Calibri"/>
        <family val="2"/>
        <charset val="238"/>
        <scheme val="minor"/>
      </rPr>
      <t xml:space="preserve"> cu layer-ul de Service, nu direct cu baza de date/fișierele.</t>
    </r>
  </si>
  <si>
    <t>AD5</t>
  </si>
  <si>
    <t>Diagrama UML 2 (Pachetul Validatoare)</t>
  </si>
  <si>
    <r>
      <t>Strategie de erori neintegrată:</t>
    </r>
    <r>
      <rPr>
        <sz val="11"/>
        <color theme="1"/>
        <rFont val="Calibri"/>
        <family val="2"/>
        <charset val="238"/>
        <scheme val="minor"/>
      </rPr>
      <t xml:space="preserve"> Ierarhia de validatoare (</t>
    </r>
    <r>
      <rPr>
        <sz val="10"/>
        <color theme="1"/>
        <rFont val="Arial Unicode MS"/>
      </rPr>
      <t>Validator</t>
    </r>
    <r>
      <rPr>
        <sz val="11"/>
        <color theme="1"/>
        <rFont val="Calibri"/>
        <family val="2"/>
        <charset val="238"/>
        <scheme val="minor"/>
      </rPr>
      <t xml:space="preserve">, </t>
    </r>
    <r>
      <rPr>
        <sz val="10"/>
        <color theme="1"/>
        <rFont val="Arial Unicode MS"/>
      </rPr>
      <t>ProductValidator</t>
    </r>
    <r>
      <rPr>
        <sz val="11"/>
        <color theme="1"/>
        <rFont val="Calibri"/>
        <family val="2"/>
        <charset val="238"/>
        <scheme val="minor"/>
      </rPr>
      <t>, etc.) a fost definită, dar nu există asocieri sau dependențe către ea de la layer-ul Service. Arhitectural, nu este definit cine și unde instanțiază sau apelează aceste validatoare înainte de salvare.</t>
    </r>
  </si>
  <si>
    <t>AD9</t>
  </si>
  <si>
    <t>Diagrama UML 1 (OrderService)</t>
  </si>
  <si>
    <r>
      <t>Asocieri/Parametri incorecți:</t>
    </r>
    <r>
      <rPr>
        <sz val="11"/>
        <color theme="1"/>
        <rFont val="Calibri"/>
        <family val="2"/>
        <charset val="238"/>
        <scheme val="minor"/>
      </rPr>
      <t xml:space="preserve"> Deși relația Order -&gt; OrderItem -&gt; Product este corect modelată, în </t>
    </r>
    <r>
      <rPr>
        <sz val="10"/>
        <color theme="1"/>
        <rFont val="Arial Unicode MS"/>
      </rPr>
      <t>OrderService</t>
    </r>
    <r>
      <rPr>
        <sz val="11"/>
        <color theme="1"/>
        <rFont val="Calibri"/>
        <family val="2"/>
        <charset val="238"/>
        <scheme val="minor"/>
      </rPr>
      <t xml:space="preserve"> metodele primesc ca parametri </t>
    </r>
    <r>
      <rPr>
        <sz val="10"/>
        <color theme="1"/>
        <rFont val="Arial Unicode MS"/>
      </rPr>
      <t>List&lt;Product&gt;</t>
    </r>
    <r>
      <rPr>
        <sz val="11"/>
        <color theme="1"/>
        <rFont val="Calibri"/>
        <family val="2"/>
        <charset val="238"/>
        <scheme val="minor"/>
      </rPr>
      <t xml:space="preserve"> (ex. </t>
    </r>
    <r>
      <rPr>
        <sz val="10"/>
        <color theme="1"/>
        <rFont val="Arial Unicode MS"/>
      </rPr>
      <t>addOrder(List&lt;Product&gt;)</t>
    </r>
    <r>
      <rPr>
        <sz val="11"/>
        <color theme="1"/>
        <rFont val="Calibri"/>
        <family val="2"/>
        <charset val="238"/>
        <scheme val="minor"/>
      </rPr>
      <t xml:space="preserve">). Ar trebui să primească </t>
    </r>
    <r>
      <rPr>
        <sz val="10"/>
        <color theme="1"/>
        <rFont val="Arial Unicode MS"/>
      </rPr>
      <t>List&lt;OrderItem&gt;</t>
    </r>
    <r>
      <rPr>
        <sz val="11"/>
        <color theme="1"/>
        <rFont val="Calibri"/>
        <family val="2"/>
        <charset val="238"/>
        <scheme val="minor"/>
      </rPr>
      <t xml:space="preserve"> pentru a nu pierde informația vitală legată de cantitatea comandată din fiecare produs.</t>
    </r>
  </si>
  <si>
    <t>AD10</t>
  </si>
  <si>
    <t>Diagrame UML (TipBautura, CategorieBautura)</t>
  </si>
  <si>
    <r>
      <t>Defect Major (Inconsistență cu cerințele):</t>
    </r>
    <r>
      <rPr>
        <sz val="11"/>
        <color theme="1"/>
        <rFont val="Calibri"/>
        <family val="2"/>
        <charset val="238"/>
        <scheme val="minor"/>
      </rPr>
      <t xml:space="preserve"> Cerința FR3 specifică funcționalități de adăugare, modificare și ștergere pentru tipuri și categorii. În diagrame, acestea sunt modelate ca </t>
    </r>
    <r>
      <rPr>
        <sz val="10"/>
        <color theme="1"/>
        <rFont val="Arial Unicode MS"/>
      </rPr>
      <t>&lt;&lt;enumeration&gt;&gt;</t>
    </r>
    <r>
      <rPr>
        <sz val="11"/>
        <color theme="1"/>
        <rFont val="Calibri"/>
        <family val="2"/>
        <charset val="238"/>
        <scheme val="minor"/>
      </rPr>
      <t>. Enum-urile sunt statice și nu suportă operații CRUD la rulare. Trebuie transformate în clase Entitate standard.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</si>
</sst>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8"/>
      <name val="Calibri"/>
      <family val="2"/>
      <charset val="238"/>
      <scheme val="minor"/>
    </font>
    <font>
      <b/>
      <sz val="11"/>
      <color theme="1"/>
      <name val="Calibri"/>
      <family val="2"/>
      <charset val="238"/>
      <scheme val="minor"/>
    </font>
    <font>
      <i/>
      <sz val="11"/>
      <color theme="1"/>
      <name val="Calibri"/>
      <family val="2"/>
      <charset val="238"/>
      <scheme val="minor"/>
    </font>
    <font>
      <sz val="10"/>
      <color theme="1"/>
      <name val="Arial Unicode MS"/>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4">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2" fillId="0" borderId="1" xfId="0" applyFont="1" applyBorder="1"/>
    <xf numFmtId="0" fontId="7" fillId="0" borderId="1" xfId="0" applyFont="1" applyBorder="1" applyAlignment="1">
      <alignment horizontal="right"/>
    </xf>
    <xf numFmtId="0" fontId="5" fillId="0" borderId="1" xfId="0" applyFont="1" applyBorder="1" applyAlignment="1">
      <alignment horizontal="center"/>
    </xf>
    <xf numFmtId="0" fontId="7" fillId="4" borderId="1" xfId="0" applyFont="1" applyFill="1" applyBorder="1" applyAlignment="1">
      <alignment horizontal="right"/>
    </xf>
    <xf numFmtId="0" fontId="7" fillId="0" borderId="0" xfId="0" applyFont="1" applyAlignment="1">
      <alignment horizontal="center"/>
    </xf>
    <xf numFmtId="0" fontId="11" fillId="4" borderId="2" xfId="0" applyFont="1" applyFill="1" applyBorder="1" applyAlignment="1">
      <alignment horizontal="right"/>
    </xf>
    <xf numFmtId="0" fontId="11" fillId="4" borderId="4" xfId="0" applyFont="1" applyFill="1" applyBorder="1" applyAlignment="1">
      <alignment horizontal="right"/>
    </xf>
    <xf numFmtId="0" fontId="7" fillId="2" borderId="1" xfId="0" applyFont="1" applyFill="1" applyBorder="1" applyAlignment="1">
      <alignment horizontal="right"/>
    </xf>
    <xf numFmtId="0" fontId="11" fillId="2" borderId="2" xfId="0" applyFont="1" applyFill="1" applyBorder="1" applyAlignment="1">
      <alignment horizontal="right"/>
    </xf>
    <xf numFmtId="0" fontId="11" fillId="2" borderId="4" xfId="0" applyFont="1" applyFill="1" applyBorder="1" applyAlignment="1">
      <alignment horizontal="right"/>
    </xf>
    <xf numFmtId="0" fontId="7" fillId="3" borderId="1" xfId="0" applyFont="1" applyFill="1" applyBorder="1" applyAlignment="1">
      <alignment horizontal="right"/>
    </xf>
    <xf numFmtId="0" fontId="11" fillId="3" borderId="2" xfId="0" applyFont="1" applyFill="1" applyBorder="1" applyAlignment="1">
      <alignment horizontal="right"/>
    </xf>
    <xf numFmtId="0" fontId="11" fillId="3" borderId="4" xfId="0" applyFont="1" applyFill="1" applyBorder="1" applyAlignment="1">
      <alignment horizontal="right"/>
    </xf>
    <xf numFmtId="0" fontId="7" fillId="0" borderId="5" xfId="0" applyFont="1" applyBorder="1" applyAlignment="1">
      <alignment horizontal="left"/>
    </xf>
    <xf numFmtId="0" fontId="7" fillId="0" borderId="0" xfId="0" applyFont="1" applyAlignment="1">
      <alignment horizontal="left"/>
    </xf>
    <xf numFmtId="0" fontId="1" fillId="0" borderId="1" xfId="0" applyFont="1" applyBorder="1"/>
    <xf numFmtId="0" fontId="6" fillId="0" borderId="0" xfId="0" applyFont="1" applyAlignment="1">
      <alignment wrapText="1"/>
    </xf>
    <xf numFmtId="0" fontId="7" fillId="0" borderId="2" xfId="0" applyFont="1" applyBorder="1" applyAlignment="1">
      <alignment wrapText="1"/>
    </xf>
    <xf numFmtId="0" fontId="7" fillId="0" borderId="3" xfId="0" applyFont="1" applyBorder="1" applyAlignment="1">
      <alignment wrapText="1"/>
    </xf>
    <xf numFmtId="0" fontId="13" fillId="0" borderId="0" xfId="0" applyFont="1" applyAlignment="1">
      <alignment wrapText="1"/>
    </xf>
    <xf numFmtId="0" fontId="0" fillId="0" borderId="0" xfId="0" applyAlignment="1">
      <alignment wrapText="1"/>
    </xf>
    <xf numFmtId="0" fontId="1" fillId="0" borderId="1" xfId="0" applyFont="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13" workbookViewId="0">
      <selection activeCell="G26" sqref="G26"/>
    </sheetView>
  </sheetViews>
  <sheetFormatPr defaultColWidth="8.81640625" defaultRowHeight="14.5"/>
  <cols>
    <col min="1" max="1" width="8.81640625" style="6"/>
    <col min="2" max="2" width="12.36328125" style="6" customWidth="1"/>
    <col min="3" max="4" width="16.36328125" style="6" customWidth="1"/>
    <col min="5" max="5" width="41.453125" style="6" customWidth="1"/>
    <col min="6" max="8" width="8.81640625" style="6"/>
    <col min="9" max="9" width="21" style="6" customWidth="1"/>
    <col min="10" max="10" width="14.453125" style="6" customWidth="1"/>
    <col min="11" max="16384" width="8.81640625" style="6"/>
  </cols>
  <sheetData>
    <row r="1" spans="1:10" ht="15.5">
      <c r="A1" s="4"/>
      <c r="B1" s="5" t="s">
        <v>3</v>
      </c>
      <c r="H1" s="24" t="s">
        <v>23</v>
      </c>
      <c r="I1" s="24"/>
      <c r="J1" s="24"/>
    </row>
    <row r="2" spans="1:10">
      <c r="B2" s="26" t="s">
        <v>19</v>
      </c>
      <c r="C2" s="26"/>
      <c r="D2" s="26"/>
      <c r="E2" s="26"/>
      <c r="H2" s="3"/>
      <c r="I2" s="19" t="s">
        <v>30</v>
      </c>
      <c r="J2" s="17" t="s">
        <v>24</v>
      </c>
    </row>
    <row r="3" spans="1:10">
      <c r="H3" s="17" t="s">
        <v>20</v>
      </c>
      <c r="I3" s="22" t="s">
        <v>32</v>
      </c>
      <c r="J3" s="17">
        <v>236</v>
      </c>
    </row>
    <row r="4" spans="1:10" ht="29">
      <c r="C4" s="13" t="s">
        <v>0</v>
      </c>
      <c r="D4" s="29" t="s">
        <v>14</v>
      </c>
      <c r="E4" s="29"/>
      <c r="H4" s="17" t="s">
        <v>21</v>
      </c>
      <c r="I4" s="43" t="s">
        <v>97</v>
      </c>
      <c r="J4" s="3">
        <v>236</v>
      </c>
    </row>
    <row r="5" spans="1:10">
      <c r="C5" s="13" t="s">
        <v>9</v>
      </c>
      <c r="D5" s="30" t="s">
        <v>13</v>
      </c>
      <c r="E5" s="31"/>
      <c r="H5" s="17" t="s">
        <v>22</v>
      </c>
      <c r="I5" s="3"/>
      <c r="J5" s="3"/>
    </row>
    <row r="6" spans="1:10">
      <c r="B6" s="8"/>
      <c r="C6" s="9" t="s">
        <v>2</v>
      </c>
      <c r="D6" s="23" t="s">
        <v>97</v>
      </c>
      <c r="E6" s="23"/>
    </row>
    <row r="7" spans="1:10">
      <c r="C7" s="9" t="s">
        <v>1</v>
      </c>
      <c r="D7" s="23" t="s">
        <v>34</v>
      </c>
      <c r="E7" s="23"/>
    </row>
    <row r="9" spans="1:10">
      <c r="A9" s="38"/>
      <c r="B9" s="14" t="s">
        <v>4</v>
      </c>
      <c r="C9" s="14" t="s">
        <v>5</v>
      </c>
      <c r="D9" s="14" t="s">
        <v>6</v>
      </c>
      <c r="E9" s="14" t="s">
        <v>7</v>
      </c>
    </row>
    <row r="10" spans="1:10" ht="87">
      <c r="A10" s="38"/>
      <c r="B10" s="15">
        <v>1</v>
      </c>
      <c r="C10" s="2" t="s">
        <v>98</v>
      </c>
      <c r="D10" s="2" t="s">
        <v>99</v>
      </c>
      <c r="E10" s="2" t="s">
        <v>100</v>
      </c>
    </row>
    <row r="11" spans="1:10" ht="72.5">
      <c r="A11" s="38"/>
      <c r="B11" s="15">
        <f>B10+1</f>
        <v>2</v>
      </c>
      <c r="C11" s="41" t="s">
        <v>101</v>
      </c>
      <c r="D11" s="42" t="s">
        <v>102</v>
      </c>
      <c r="E11" s="2" t="s">
        <v>103</v>
      </c>
    </row>
    <row r="12" spans="1:10" ht="101.5">
      <c r="A12" s="38"/>
      <c r="B12" s="15">
        <f t="shared" ref="B12:B25" si="0">B11+1</f>
        <v>3</v>
      </c>
      <c r="C12" s="41" t="s">
        <v>104</v>
      </c>
      <c r="D12" s="42" t="s">
        <v>105</v>
      </c>
      <c r="E12" s="42" t="s">
        <v>106</v>
      </c>
    </row>
    <row r="13" spans="1:10" ht="43.5">
      <c r="A13" s="38"/>
      <c r="B13" s="15">
        <f t="shared" si="0"/>
        <v>4</v>
      </c>
      <c r="C13" s="41" t="s">
        <v>107</v>
      </c>
      <c r="D13" s="2" t="s">
        <v>108</v>
      </c>
      <c r="E13" s="2" t="s">
        <v>109</v>
      </c>
    </row>
    <row r="14" spans="1:10">
      <c r="A14" s="38"/>
      <c r="B14" s="15">
        <f t="shared" si="0"/>
        <v>5</v>
      </c>
      <c r="C14" s="2"/>
      <c r="D14" s="2"/>
      <c r="E14" s="2"/>
    </row>
    <row r="15" spans="1:10">
      <c r="A15" s="38"/>
      <c r="B15" s="15">
        <f t="shared" si="0"/>
        <v>6</v>
      </c>
      <c r="C15" s="2"/>
      <c r="D15" s="2"/>
      <c r="E15" s="2"/>
    </row>
    <row r="16" spans="1:10">
      <c r="A16" s="38"/>
      <c r="B16" s="15">
        <f t="shared" si="0"/>
        <v>7</v>
      </c>
      <c r="C16" s="2"/>
      <c r="D16" s="2"/>
      <c r="E16" s="2"/>
    </row>
    <row r="17" spans="1:5">
      <c r="A17" s="38"/>
      <c r="B17" s="15">
        <f t="shared" si="0"/>
        <v>8</v>
      </c>
      <c r="C17" s="2"/>
      <c r="D17" s="2"/>
      <c r="E17" s="2"/>
    </row>
    <row r="18" spans="1:5">
      <c r="A18" s="38"/>
      <c r="B18" s="15">
        <f t="shared" si="0"/>
        <v>9</v>
      </c>
      <c r="C18" s="15"/>
      <c r="D18" s="15"/>
      <c r="E18" s="15"/>
    </row>
    <row r="19" spans="1:5">
      <c r="A19" s="38"/>
      <c r="B19" s="15">
        <f t="shared" si="0"/>
        <v>10</v>
      </c>
      <c r="C19" s="15"/>
      <c r="D19" s="15"/>
      <c r="E19" s="15"/>
    </row>
    <row r="20" spans="1:5">
      <c r="A20" s="38"/>
      <c r="B20" s="15">
        <f t="shared" si="0"/>
        <v>11</v>
      </c>
      <c r="C20" s="15"/>
      <c r="D20" s="15"/>
      <c r="E20" s="15"/>
    </row>
    <row r="21" spans="1:5">
      <c r="A21" s="38"/>
      <c r="B21" s="15">
        <f t="shared" si="0"/>
        <v>12</v>
      </c>
      <c r="C21" s="15"/>
      <c r="D21" s="15"/>
      <c r="E21" s="15"/>
    </row>
    <row r="22" spans="1:5">
      <c r="A22" s="38"/>
      <c r="B22" s="15">
        <f t="shared" si="0"/>
        <v>13</v>
      </c>
      <c r="C22" s="15"/>
      <c r="D22" s="15"/>
      <c r="E22" s="15"/>
    </row>
    <row r="23" spans="1:5">
      <c r="A23" s="38"/>
      <c r="B23" s="15">
        <f t="shared" si="0"/>
        <v>14</v>
      </c>
      <c r="C23" s="15"/>
      <c r="D23" s="15"/>
      <c r="E23" s="15"/>
    </row>
    <row r="24" spans="1:5">
      <c r="A24" s="38"/>
      <c r="B24" s="15">
        <f t="shared" si="0"/>
        <v>15</v>
      </c>
      <c r="C24" s="15"/>
      <c r="D24" s="15"/>
      <c r="E24" s="15"/>
    </row>
    <row r="25" spans="1:5">
      <c r="A25" s="38"/>
      <c r="B25" s="15">
        <f t="shared" si="0"/>
        <v>16</v>
      </c>
      <c r="C25" s="15"/>
      <c r="D25" s="15"/>
      <c r="E25" s="15"/>
    </row>
    <row r="26" spans="1:5">
      <c r="A26" s="38"/>
      <c r="B26" s="38"/>
      <c r="C26" s="38"/>
      <c r="D26" s="38"/>
      <c r="E26" s="38"/>
    </row>
    <row r="27" spans="1:5" ht="43.5">
      <c r="A27" s="38"/>
      <c r="B27" s="38"/>
      <c r="C27" s="39" t="s">
        <v>8</v>
      </c>
      <c r="D27" s="40"/>
      <c r="E27" s="2">
        <v>0.5</v>
      </c>
    </row>
  </sheetData>
  <mergeCells count="6">
    <mergeCell ref="D7:E7"/>
    <mergeCell ref="H1:J1"/>
    <mergeCell ref="B2:E2"/>
    <mergeCell ref="D4:E4"/>
    <mergeCell ref="D6:E6"/>
    <mergeCell ref="D5:E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abSelected="1" topLeftCell="A17" workbookViewId="0">
      <selection activeCell="E31" sqref="E31"/>
    </sheetView>
  </sheetViews>
  <sheetFormatPr defaultColWidth="8.81640625" defaultRowHeight="14.5"/>
  <cols>
    <col min="1" max="1" width="8.81640625" style="6"/>
    <col min="2" max="2" width="12.36328125" style="6" customWidth="1"/>
    <col min="3" max="4" width="16.36328125" style="6" customWidth="1"/>
    <col min="5" max="5" width="41.453125" style="6" customWidth="1"/>
    <col min="6" max="8" width="8.81640625" style="6"/>
    <col min="9" max="9" width="22.1796875" style="6" customWidth="1"/>
    <col min="10" max="16384" width="8.81640625" style="6"/>
  </cols>
  <sheetData>
    <row r="1" spans="1:10" ht="15.5">
      <c r="A1" s="4"/>
      <c r="B1" s="5" t="s">
        <v>3</v>
      </c>
      <c r="H1" s="24" t="s">
        <v>23</v>
      </c>
      <c r="I1" s="24"/>
      <c r="J1" s="24"/>
    </row>
    <row r="2" spans="1:10">
      <c r="B2" s="26" t="s">
        <v>18</v>
      </c>
      <c r="C2" s="26"/>
      <c r="D2" s="26"/>
      <c r="E2" s="26"/>
      <c r="H2" s="3"/>
      <c r="I2" s="19" t="s">
        <v>30</v>
      </c>
      <c r="J2" s="17" t="s">
        <v>24</v>
      </c>
    </row>
    <row r="3" spans="1:10">
      <c r="H3" s="17" t="s">
        <v>20</v>
      </c>
      <c r="I3" s="22" t="s">
        <v>32</v>
      </c>
      <c r="J3" s="17">
        <v>236</v>
      </c>
    </row>
    <row r="4" spans="1:10">
      <c r="C4" s="7" t="s">
        <v>0</v>
      </c>
      <c r="D4" s="32" t="s">
        <v>15</v>
      </c>
      <c r="E4" s="32"/>
      <c r="H4" s="17" t="s">
        <v>21</v>
      </c>
      <c r="I4" s="37" t="s">
        <v>97</v>
      </c>
      <c r="J4" s="3">
        <v>236</v>
      </c>
    </row>
    <row r="5" spans="1:10">
      <c r="C5" s="7" t="s">
        <v>10</v>
      </c>
      <c r="D5" s="33" t="s">
        <v>12</v>
      </c>
      <c r="E5" s="34"/>
      <c r="H5" s="17" t="s">
        <v>22</v>
      </c>
      <c r="I5" s="3"/>
      <c r="J5" s="3"/>
    </row>
    <row r="6" spans="1:10">
      <c r="B6" s="8"/>
      <c r="C6" s="9" t="s">
        <v>2</v>
      </c>
      <c r="D6" s="23" t="s">
        <v>97</v>
      </c>
      <c r="E6" s="23"/>
    </row>
    <row r="7" spans="1:10">
      <c r="C7" s="9" t="s">
        <v>1</v>
      </c>
      <c r="D7" s="23" t="s">
        <v>34</v>
      </c>
      <c r="E7" s="23"/>
    </row>
    <row r="9" spans="1:10">
      <c r="B9" s="10" t="s">
        <v>4</v>
      </c>
      <c r="C9" s="10" t="s">
        <v>5</v>
      </c>
      <c r="D9" s="10" t="s">
        <v>6</v>
      </c>
      <c r="E9" s="10" t="s">
        <v>7</v>
      </c>
    </row>
    <row r="10" spans="1:10" ht="101.5">
      <c r="B10" s="3">
        <v>1</v>
      </c>
      <c r="C10" t="s">
        <v>110</v>
      </c>
      <c r="D10" s="42" t="s">
        <v>111</v>
      </c>
      <c r="E10" s="41" t="s">
        <v>112</v>
      </c>
    </row>
    <row r="11" spans="1:10" ht="116">
      <c r="B11" s="3">
        <f>B10+1</f>
        <v>2</v>
      </c>
      <c r="C11" t="s">
        <v>110</v>
      </c>
      <c r="D11" s="42" t="s">
        <v>113</v>
      </c>
      <c r="E11" s="41" t="s">
        <v>114</v>
      </c>
    </row>
    <row r="12" spans="1:10" ht="72.5">
      <c r="B12" s="3">
        <f t="shared" ref="B12:B26" si="0">B11+1</f>
        <v>3</v>
      </c>
      <c r="C12" t="s">
        <v>115</v>
      </c>
      <c r="D12" s="42" t="s">
        <v>116</v>
      </c>
      <c r="E12" s="41" t="s">
        <v>117</v>
      </c>
    </row>
    <row r="13" spans="1:10" ht="101.5">
      <c r="B13" s="3">
        <f t="shared" si="0"/>
        <v>4</v>
      </c>
      <c r="C13" t="s">
        <v>118</v>
      </c>
      <c r="D13" s="42" t="s">
        <v>119</v>
      </c>
      <c r="E13" s="41" t="s">
        <v>120</v>
      </c>
    </row>
    <row r="14" spans="1:10" ht="101.5">
      <c r="B14" s="3">
        <f t="shared" si="0"/>
        <v>5</v>
      </c>
      <c r="C14" t="s">
        <v>121</v>
      </c>
      <c r="D14" s="42" t="s">
        <v>122</v>
      </c>
      <c r="E14" s="41" t="s">
        <v>123</v>
      </c>
    </row>
    <row r="15" spans="1:10" ht="101.5">
      <c r="B15" s="3">
        <f t="shared" si="0"/>
        <v>6</v>
      </c>
      <c r="C15" s="1" t="s">
        <v>124</v>
      </c>
      <c r="D15" s="2" t="s">
        <v>125</v>
      </c>
      <c r="E15" s="41" t="s">
        <v>126</v>
      </c>
    </row>
    <row r="16" spans="1:10">
      <c r="B16" s="3">
        <f t="shared" si="0"/>
        <v>7</v>
      </c>
      <c r="C16" s="1"/>
      <c r="D16" s="2"/>
      <c r="E16" s="2"/>
    </row>
    <row r="17" spans="2:5">
      <c r="B17" s="3">
        <f t="shared" si="0"/>
        <v>8</v>
      </c>
      <c r="C17" s="1"/>
      <c r="D17" s="2"/>
      <c r="E17" s="2"/>
    </row>
    <row r="18" spans="2:5">
      <c r="B18" s="3">
        <f t="shared" si="0"/>
        <v>9</v>
      </c>
      <c r="C18" s="1"/>
      <c r="D18" s="1"/>
      <c r="E18" s="2"/>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v>1</v>
      </c>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opLeftCell="A4" workbookViewId="0">
      <selection activeCell="D10" sqref="D10"/>
    </sheetView>
  </sheetViews>
  <sheetFormatPr defaultColWidth="8.81640625" defaultRowHeight="14.5"/>
  <cols>
    <col min="1" max="1" width="8.81640625" style="6"/>
    <col min="2" max="2" width="12.36328125" style="6" customWidth="1"/>
    <col min="3" max="3" width="16.36328125" style="6" customWidth="1"/>
    <col min="4" max="4" width="26.1796875" style="6" customWidth="1"/>
    <col min="5" max="5" width="41.453125" style="6" customWidth="1"/>
    <col min="6" max="8" width="8.81640625" style="6"/>
    <col min="9" max="9" width="26.6328125" style="6" customWidth="1"/>
    <col min="10" max="16384" width="8.81640625" style="6"/>
  </cols>
  <sheetData>
    <row r="1" spans="1:10" ht="15.5">
      <c r="A1" s="4"/>
      <c r="B1" s="5" t="s">
        <v>3</v>
      </c>
      <c r="H1" s="24" t="s">
        <v>23</v>
      </c>
      <c r="I1" s="24"/>
      <c r="J1" s="24"/>
    </row>
    <row r="2" spans="1:10">
      <c r="B2" s="26" t="s">
        <v>17</v>
      </c>
      <c r="C2" s="26"/>
      <c r="D2" s="26"/>
      <c r="E2" s="26"/>
      <c r="H2" s="3"/>
      <c r="I2" s="19" t="s">
        <v>30</v>
      </c>
      <c r="J2" s="17" t="s">
        <v>24</v>
      </c>
    </row>
    <row r="3" spans="1:10">
      <c r="H3" s="17" t="s">
        <v>20</v>
      </c>
      <c r="I3" s="22" t="s">
        <v>32</v>
      </c>
      <c r="J3" s="17">
        <v>236</v>
      </c>
    </row>
    <row r="4" spans="1:10">
      <c r="C4" s="16" t="s">
        <v>0</v>
      </c>
      <c r="D4" s="25" t="s">
        <v>16</v>
      </c>
      <c r="E4" s="25"/>
      <c r="H4" s="17" t="s">
        <v>21</v>
      </c>
      <c r="I4" s="37" t="s">
        <v>97</v>
      </c>
      <c r="J4" s="3">
        <v>236</v>
      </c>
    </row>
    <row r="5" spans="1:10">
      <c r="C5" s="16" t="s">
        <v>9</v>
      </c>
      <c r="D5" s="27" t="s">
        <v>11</v>
      </c>
      <c r="E5" s="28"/>
      <c r="H5" s="17" t="s">
        <v>22</v>
      </c>
      <c r="I5" s="3"/>
      <c r="J5" s="3"/>
    </row>
    <row r="6" spans="1:10">
      <c r="B6" s="8"/>
      <c r="C6" s="9" t="s">
        <v>2</v>
      </c>
      <c r="D6" s="23" t="s">
        <v>33</v>
      </c>
      <c r="E6" s="23"/>
    </row>
    <row r="7" spans="1:10">
      <c r="C7" s="9" t="s">
        <v>1</v>
      </c>
      <c r="D7" s="23" t="s">
        <v>34</v>
      </c>
      <c r="E7" s="23"/>
    </row>
    <row r="9" spans="1:10">
      <c r="B9" s="10" t="s">
        <v>4</v>
      </c>
      <c r="C9" s="10" t="s">
        <v>5</v>
      </c>
      <c r="D9" s="10" t="s">
        <v>6</v>
      </c>
      <c r="E9" s="10" t="s">
        <v>7</v>
      </c>
    </row>
    <row r="10" spans="1:10" ht="43.5">
      <c r="B10" s="3">
        <v>1</v>
      </c>
      <c r="C10" s="1" t="s">
        <v>36</v>
      </c>
      <c r="D10" s="2" t="s">
        <v>37</v>
      </c>
      <c r="E10" s="2" t="s">
        <v>38</v>
      </c>
    </row>
    <row r="11" spans="1:10">
      <c r="B11" s="3">
        <f>B10+1</f>
        <v>2</v>
      </c>
      <c r="C11" s="1" t="s">
        <v>36</v>
      </c>
      <c r="D11" s="1" t="s">
        <v>40</v>
      </c>
      <c r="E11" s="2" t="s">
        <v>39</v>
      </c>
    </row>
    <row r="12" spans="1:10" ht="43.5">
      <c r="B12" s="3">
        <f t="shared" ref="B12:B30" si="0">B11+1</f>
        <v>3</v>
      </c>
      <c r="C12" s="1" t="s">
        <v>41</v>
      </c>
      <c r="D12" s="1" t="s">
        <v>43</v>
      </c>
      <c r="E12" s="2" t="s">
        <v>44</v>
      </c>
    </row>
    <row r="13" spans="1:10" ht="43.5">
      <c r="B13" s="3">
        <f t="shared" si="0"/>
        <v>4</v>
      </c>
      <c r="C13" s="1" t="s">
        <v>41</v>
      </c>
      <c r="D13" s="2" t="s">
        <v>53</v>
      </c>
      <c r="E13" s="2" t="s">
        <v>54</v>
      </c>
    </row>
    <row r="14" spans="1:10" ht="58">
      <c r="B14" s="3">
        <f t="shared" si="0"/>
        <v>5</v>
      </c>
      <c r="C14" s="1" t="s">
        <v>47</v>
      </c>
      <c r="D14" s="2" t="s">
        <v>48</v>
      </c>
      <c r="E14" s="2" t="s">
        <v>50</v>
      </c>
    </row>
    <row r="15" spans="1:10" ht="43.5">
      <c r="B15" s="3">
        <f t="shared" si="0"/>
        <v>6</v>
      </c>
      <c r="C15" s="1" t="s">
        <v>47</v>
      </c>
      <c r="D15" s="2" t="s">
        <v>49</v>
      </c>
      <c r="E15" s="2" t="s">
        <v>51</v>
      </c>
    </row>
    <row r="16" spans="1:10" ht="29">
      <c r="B16" s="3">
        <f t="shared" si="0"/>
        <v>7</v>
      </c>
      <c r="C16" s="1" t="s">
        <v>52</v>
      </c>
      <c r="D16" s="2" t="s">
        <v>45</v>
      </c>
      <c r="E16" s="2" t="s">
        <v>46</v>
      </c>
    </row>
    <row r="17" spans="2:5" ht="29">
      <c r="B17" s="3">
        <f t="shared" si="0"/>
        <v>8</v>
      </c>
      <c r="C17" s="1" t="s">
        <v>55</v>
      </c>
      <c r="D17" s="2" t="s">
        <v>56</v>
      </c>
      <c r="E17" s="2" t="s">
        <v>57</v>
      </c>
    </row>
    <row r="18" spans="2:5" ht="58">
      <c r="B18" s="3">
        <f t="shared" si="0"/>
        <v>9</v>
      </c>
      <c r="C18" s="1" t="s">
        <v>58</v>
      </c>
      <c r="D18" s="2" t="s">
        <v>59</v>
      </c>
      <c r="E18" s="2" t="s">
        <v>63</v>
      </c>
    </row>
    <row r="19" spans="2:5" ht="43.5">
      <c r="B19" s="3">
        <f t="shared" si="0"/>
        <v>10</v>
      </c>
      <c r="C19" s="1" t="s">
        <v>60</v>
      </c>
      <c r="D19" s="21" t="s">
        <v>61</v>
      </c>
      <c r="E19" s="2" t="s">
        <v>62</v>
      </c>
    </row>
    <row r="20" spans="2:5" ht="29">
      <c r="B20" s="3">
        <f t="shared" si="0"/>
        <v>11</v>
      </c>
      <c r="C20" s="1" t="s">
        <v>60</v>
      </c>
      <c r="D20" s="2" t="s">
        <v>64</v>
      </c>
      <c r="E20" s="2" t="s">
        <v>65</v>
      </c>
    </row>
    <row r="21" spans="2:5">
      <c r="B21" s="3">
        <f t="shared" si="0"/>
        <v>12</v>
      </c>
      <c r="C21" s="1"/>
      <c r="D21" s="1"/>
      <c r="E21" s="2"/>
    </row>
    <row r="22" spans="2:5">
      <c r="B22" s="3">
        <f t="shared" si="0"/>
        <v>13</v>
      </c>
      <c r="C22" s="1"/>
      <c r="D22" s="2"/>
      <c r="E22" s="2"/>
    </row>
    <row r="23" spans="2:5">
      <c r="B23" s="3">
        <f t="shared" si="0"/>
        <v>14</v>
      </c>
      <c r="C23" s="1"/>
      <c r="D23" s="2"/>
      <c r="E23" s="2"/>
    </row>
    <row r="24" spans="2:5">
      <c r="B24" s="3">
        <f t="shared" si="0"/>
        <v>15</v>
      </c>
      <c r="C24" s="1"/>
      <c r="D24" s="2"/>
      <c r="E24" s="2"/>
    </row>
    <row r="25" spans="2:5">
      <c r="B25" s="3">
        <f t="shared" si="0"/>
        <v>16</v>
      </c>
      <c r="C25" s="1"/>
      <c r="D25" s="2"/>
      <c r="E25" s="2"/>
    </row>
    <row r="26" spans="2:5">
      <c r="B26" s="3">
        <f t="shared" si="0"/>
        <v>17</v>
      </c>
      <c r="C26" s="1"/>
      <c r="D26" s="1"/>
      <c r="E26" s="2"/>
    </row>
    <row r="27" spans="2:5">
      <c r="B27" s="3">
        <f t="shared" si="0"/>
        <v>18</v>
      </c>
      <c r="C27" s="1"/>
      <c r="D27" s="2"/>
      <c r="E27" s="1"/>
    </row>
    <row r="28" spans="2:5">
      <c r="B28" s="3">
        <f t="shared" si="0"/>
        <v>19</v>
      </c>
      <c r="C28" s="1"/>
      <c r="D28" s="2"/>
      <c r="E28" s="2"/>
    </row>
    <row r="29" spans="2:5">
      <c r="B29" s="3">
        <f t="shared" si="0"/>
        <v>20</v>
      </c>
      <c r="C29" s="1"/>
      <c r="D29" s="2"/>
      <c r="E29" s="2"/>
    </row>
    <row r="30" spans="2:5">
      <c r="B30" s="3">
        <f t="shared" si="0"/>
        <v>21</v>
      </c>
      <c r="C30" s="1"/>
      <c r="D30" s="2"/>
      <c r="E30" s="2"/>
    </row>
    <row r="32" spans="2:5">
      <c r="C32" s="11" t="s">
        <v>8</v>
      </c>
      <c r="D32" s="12"/>
      <c r="E32" s="1">
        <v>1</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workbookViewId="0">
      <selection activeCell="E20" sqref="E20"/>
    </sheetView>
  </sheetViews>
  <sheetFormatPr defaultColWidth="8.81640625" defaultRowHeight="14.5"/>
  <cols>
    <col min="1" max="1" width="8.81640625" style="6"/>
    <col min="2" max="2" width="12.36328125" style="6" customWidth="1"/>
    <col min="3" max="3" width="23.1796875" style="6" customWidth="1"/>
    <col min="4" max="4" width="29" style="6" customWidth="1"/>
    <col min="5" max="5" width="23.81640625" style="6" customWidth="1"/>
    <col min="6" max="6" width="24.453125" style="6" customWidth="1"/>
    <col min="7" max="8" width="8.81640625" style="6"/>
    <col min="9" max="9" width="26.6328125" style="6" customWidth="1"/>
    <col min="10" max="16384" width="8.81640625" style="6"/>
  </cols>
  <sheetData>
    <row r="1" spans="1:10" ht="15.5">
      <c r="A1" s="4"/>
      <c r="B1" s="5" t="s">
        <v>3</v>
      </c>
      <c r="H1" s="24" t="s">
        <v>23</v>
      </c>
      <c r="I1" s="24"/>
      <c r="J1" s="24"/>
    </row>
    <row r="2" spans="1:10">
      <c r="B2" s="26" t="s">
        <v>31</v>
      </c>
      <c r="C2" s="26"/>
      <c r="D2" s="26"/>
      <c r="E2" s="26"/>
      <c r="H2" s="3"/>
      <c r="I2" s="19" t="s">
        <v>30</v>
      </c>
      <c r="J2" s="17" t="s">
        <v>24</v>
      </c>
    </row>
    <row r="3" spans="1:10">
      <c r="H3" s="17" t="s">
        <v>20</v>
      </c>
      <c r="I3" s="22" t="s">
        <v>32</v>
      </c>
      <c r="J3" s="17">
        <v>236</v>
      </c>
    </row>
    <row r="4" spans="1:10">
      <c r="C4" s="16" t="s">
        <v>25</v>
      </c>
      <c r="D4" s="25" t="s">
        <v>35</v>
      </c>
      <c r="E4" s="25"/>
      <c r="H4" s="17" t="s">
        <v>21</v>
      </c>
      <c r="I4" s="3"/>
      <c r="J4" s="3"/>
    </row>
    <row r="5" spans="1:10">
      <c r="C5" s="9" t="s">
        <v>2</v>
      </c>
      <c r="D5" s="23" t="s">
        <v>33</v>
      </c>
      <c r="E5" s="23"/>
      <c r="H5" s="17" t="s">
        <v>22</v>
      </c>
      <c r="I5" s="3"/>
      <c r="J5" s="3"/>
    </row>
    <row r="6" spans="1:10">
      <c r="B6" s="8"/>
      <c r="C6" s="9" t="s">
        <v>1</v>
      </c>
      <c r="D6" s="23" t="s">
        <v>34</v>
      </c>
      <c r="E6" s="23"/>
      <c r="F6" s="20"/>
    </row>
    <row r="9" spans="1:10">
      <c r="B9" s="10" t="s">
        <v>4</v>
      </c>
      <c r="C9" s="10" t="s">
        <v>28</v>
      </c>
      <c r="D9" s="10" t="s">
        <v>27</v>
      </c>
      <c r="E9" s="10" t="s">
        <v>26</v>
      </c>
      <c r="F9" s="10" t="s">
        <v>29</v>
      </c>
    </row>
    <row r="10" spans="1:10" ht="58">
      <c r="B10" s="3">
        <v>1</v>
      </c>
      <c r="C10" s="1" t="s">
        <v>66</v>
      </c>
      <c r="D10" s="2" t="s">
        <v>67</v>
      </c>
      <c r="E10" s="2" t="s">
        <v>68</v>
      </c>
      <c r="F10" s="2" t="s">
        <v>78</v>
      </c>
    </row>
    <row r="11" spans="1:10" ht="43.5">
      <c r="B11" s="3">
        <f>B10+1</f>
        <v>2</v>
      </c>
      <c r="C11" s="1" t="s">
        <v>70</v>
      </c>
      <c r="D11" s="2" t="s">
        <v>69</v>
      </c>
      <c r="E11" s="2" t="s">
        <v>71</v>
      </c>
      <c r="F11" s="2" t="s">
        <v>79</v>
      </c>
    </row>
    <row r="12" spans="1:10" ht="58">
      <c r="B12" s="3">
        <f t="shared" ref="B12:B30" si="0">B11+1</f>
        <v>3</v>
      </c>
      <c r="C12" s="1" t="s">
        <v>72</v>
      </c>
      <c r="D12" s="2" t="s">
        <v>73</v>
      </c>
      <c r="E12" s="2" t="s">
        <v>74</v>
      </c>
      <c r="F12" s="2" t="s">
        <v>80</v>
      </c>
    </row>
    <row r="13" spans="1:10" ht="58">
      <c r="B13" s="3">
        <f t="shared" si="0"/>
        <v>4</v>
      </c>
      <c r="C13" s="1" t="s">
        <v>75</v>
      </c>
      <c r="D13" s="2" t="s">
        <v>73</v>
      </c>
      <c r="E13" s="2" t="s">
        <v>74</v>
      </c>
      <c r="F13" s="2" t="s">
        <v>80</v>
      </c>
    </row>
    <row r="14" spans="1:10" ht="58">
      <c r="B14" s="3">
        <f t="shared" si="0"/>
        <v>5</v>
      </c>
      <c r="C14" s="1" t="s">
        <v>76</v>
      </c>
      <c r="D14" s="2" t="s">
        <v>77</v>
      </c>
      <c r="E14" s="2" t="s">
        <v>90</v>
      </c>
      <c r="F14" s="2" t="s">
        <v>91</v>
      </c>
    </row>
    <row r="15" spans="1:10" ht="29">
      <c r="B15" s="3">
        <f t="shared" si="0"/>
        <v>6</v>
      </c>
      <c r="C15" s="1" t="s">
        <v>81</v>
      </c>
      <c r="D15" s="2" t="s">
        <v>82</v>
      </c>
      <c r="E15" s="2" t="s">
        <v>89</v>
      </c>
      <c r="F15" s="2" t="s">
        <v>92</v>
      </c>
    </row>
    <row r="16" spans="1:10" ht="43.5">
      <c r="B16" s="3">
        <f t="shared" si="0"/>
        <v>7</v>
      </c>
      <c r="C16" s="1" t="s">
        <v>83</v>
      </c>
      <c r="D16" s="2" t="s">
        <v>84</v>
      </c>
      <c r="E16" s="2" t="s">
        <v>88</v>
      </c>
      <c r="F16" s="2" t="s">
        <v>93</v>
      </c>
    </row>
    <row r="17" spans="2:6" ht="43.5">
      <c r="B17" s="3">
        <f t="shared" si="0"/>
        <v>8</v>
      </c>
      <c r="C17" s="1" t="s">
        <v>85</v>
      </c>
      <c r="D17" s="2" t="s">
        <v>86</v>
      </c>
      <c r="E17" s="2" t="s">
        <v>87</v>
      </c>
      <c r="F17" s="2" t="s">
        <v>94</v>
      </c>
    </row>
    <row r="18" spans="2:6" ht="58">
      <c r="B18" s="3">
        <f t="shared" si="0"/>
        <v>9</v>
      </c>
      <c r="C18" s="1" t="s">
        <v>95</v>
      </c>
      <c r="D18" s="2" t="s">
        <v>73</v>
      </c>
      <c r="E18" s="2" t="s">
        <v>74</v>
      </c>
      <c r="F18" s="2" t="s">
        <v>80</v>
      </c>
    </row>
    <row r="19" spans="2:6" ht="58">
      <c r="B19" s="3">
        <f t="shared" si="0"/>
        <v>10</v>
      </c>
      <c r="C19" s="1" t="s">
        <v>96</v>
      </c>
      <c r="D19" s="2" t="s">
        <v>73</v>
      </c>
      <c r="E19" s="2" t="s">
        <v>74</v>
      </c>
      <c r="F19" s="2" t="s">
        <v>80</v>
      </c>
    </row>
    <row r="20" spans="2:6">
      <c r="B20" s="3">
        <f t="shared" si="0"/>
        <v>11</v>
      </c>
      <c r="C20" s="1"/>
      <c r="D20" s="2"/>
      <c r="E20" s="2"/>
      <c r="F20" s="2"/>
    </row>
    <row r="21" spans="2:6">
      <c r="B21" s="3">
        <f t="shared" si="0"/>
        <v>12</v>
      </c>
      <c r="C21" s="1"/>
      <c r="D21" s="1"/>
      <c r="E21" s="2"/>
      <c r="F21" s="2"/>
    </row>
    <row r="22" spans="2:6">
      <c r="B22" s="3">
        <f t="shared" si="0"/>
        <v>13</v>
      </c>
      <c r="C22" s="1"/>
      <c r="D22" s="2"/>
      <c r="E22" s="2"/>
      <c r="F22" s="2"/>
    </row>
    <row r="23" spans="2:6">
      <c r="B23" s="3">
        <f t="shared" si="0"/>
        <v>14</v>
      </c>
      <c r="C23" s="1"/>
      <c r="D23" s="2"/>
      <c r="E23" s="2"/>
      <c r="F23" s="2"/>
    </row>
    <row r="24" spans="2:6">
      <c r="B24" s="3">
        <f t="shared" si="0"/>
        <v>15</v>
      </c>
      <c r="C24" s="1"/>
      <c r="D24" s="2"/>
      <c r="E24" s="2"/>
      <c r="F24" s="2"/>
    </row>
    <row r="25" spans="2:6">
      <c r="B25" s="3">
        <f t="shared" si="0"/>
        <v>16</v>
      </c>
      <c r="C25" s="1"/>
      <c r="D25" s="2"/>
      <c r="E25" s="2"/>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35" t="s">
        <v>42</v>
      </c>
      <c r="D32" s="36"/>
      <c r="E32" s="36"/>
      <c r="F32" s="18">
        <v>1</v>
      </c>
    </row>
    <row r="35" spans="6:6">
      <c r="F35" s="21"/>
    </row>
  </sheetData>
  <mergeCells count="6">
    <mergeCell ref="C32:E32"/>
    <mergeCell ref="H1:J1"/>
    <mergeCell ref="B2:E2"/>
    <mergeCell ref="D4:E4"/>
    <mergeCell ref="D5:E5"/>
    <mergeCell ref="D6:E6"/>
  </mergeCells>
  <phoneticPr fontId="1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Robert Prodan</cp:lastModifiedBy>
  <dcterms:created xsi:type="dcterms:W3CDTF">2015-02-21T15:59:19Z</dcterms:created>
  <dcterms:modified xsi:type="dcterms:W3CDTF">2026-03-17T06:39:28Z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a612a5d-858c-47c0-96d3-92955940fe19_Enabled">
    <vt:lpwstr>true</vt:lpwstr>
  </property>
  <property fmtid="{D5CDD505-2E9C-101B-9397-08002B2CF9AE}" pid="3" name="MSIP_Label_5a612a5d-858c-47c0-96d3-92955940fe19_SetDate">
    <vt:lpwstr>2026-03-17T06:19:38Z</vt:lpwstr>
  </property>
  <property fmtid="{D5CDD505-2E9C-101B-9397-08002B2CF9AE}" pid="4" name="MSIP_Label_5a612a5d-858c-47c0-96d3-92955940fe19_Method">
    <vt:lpwstr>Privileged</vt:lpwstr>
  </property>
  <property fmtid="{D5CDD505-2E9C-101B-9397-08002B2CF9AE}" pid="5" name="MSIP_Label_5a612a5d-858c-47c0-96d3-92955940fe19_Name">
    <vt:lpwstr>Public (without marking)</vt:lpwstr>
  </property>
  <property fmtid="{D5CDD505-2E9C-101B-9397-08002B2CF9AE}" pid="6" name="MSIP_Label_5a612a5d-858c-47c0-96d3-92955940fe19_SiteId">
    <vt:lpwstr>e21ebe2c-3b5b-4d4c-8d0e-c1ca0e8ea14b</vt:lpwstr>
  </property>
  <property fmtid="{D5CDD505-2E9C-101B-9397-08002B2CF9AE}" pid="7" name="MSIP_Label_5a612a5d-858c-47c0-96d3-92955940fe19_ActionId">
    <vt:lpwstr>65eab451-7024-408b-a5a4-790773653f81</vt:lpwstr>
  </property>
  <property fmtid="{D5CDD505-2E9C-101B-9397-08002B2CF9AE}" pid="8" name="MSIP_Label_5a612a5d-858c-47c0-96d3-92955940fe19_ContentBits">
    <vt:lpwstr>0</vt:lpwstr>
  </property>
  <property fmtid="{D5CDD505-2E9C-101B-9397-08002B2CF9AE}" pid="9" name="MSIP_Label_5a612a5d-858c-47c0-96d3-92955940fe19_Tag">
    <vt:lpwstr>10, 0, 1, 1</vt:lpwstr>
  </property>
</Properties>
</file>